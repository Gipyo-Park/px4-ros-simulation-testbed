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angmin" sheetId="1" state="visible" r:id="rId2"/>
    <sheet name="G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<sst xmlns="http://schemas.openxmlformats.org/spreadsheetml/2006/main" count="61" uniqueCount="56">
  <si>
    <t xml:space="preserve">User Input</t>
  </si>
  <si>
    <t xml:space="preserve">Maximum RPM</t>
  </si>
  <si>
    <t xml:space="preserve">n Maximum RPS</t>
  </si>
  <si>
    <t xml:space="preserve">T Maximum Thrust [N]</t>
  </si>
  <si>
    <t xml:space="preserve">P Motor power [W]</t>
  </si>
  <si>
    <t xml:space="preserve">D Rotor Diameter [m]</t>
  </si>
  <si>
    <t xml:space="preserve">ρ Air density at 20ºC</t>
  </si>
  <si>
    <t xml:space="preserve">pi</t>
  </si>
  <si>
    <t xml:space="preserve">Result</t>
  </si>
  <si>
    <t xml:space="preserve">CT Thrust coefficient</t>
  </si>
  <si>
    <t xml:space="preserve">CQ Torque coefficient</t>
  </si>
  <si>
    <t xml:space="preserve">CP Power coefficient</t>
  </si>
  <si>
    <t xml:space="preserve">motor constant</t>
  </si>
  <si>
    <t xml:space="preserve">moment constant</t>
  </si>
  <si>
    <t xml:space="preserve">rotor drag coefficient</t>
  </si>
  <si>
    <t xml:space="preserve">rolling moment coefficient</t>
  </si>
  <si>
    <t xml:space="preserve">MATLAB Fitting result</t>
  </si>
  <si>
    <t xml:space="preserve">ct</t>
  </si>
  <si>
    <t xml:space="preserve">cq</t>
  </si>
  <si>
    <t xml:space="preserve">cp</t>
  </si>
  <si>
    <t xml:space="preserve">CT</t>
  </si>
  <si>
    <t xml:space="preserve">CQ</t>
  </si>
  <si>
    <t xml:space="preserve">CP</t>
  </si>
  <si>
    <t xml:space="preserve">moment constant using CQ</t>
  </si>
  <si>
    <t xml:space="preserve">moment constant using CQ=CP/2pi</t>
  </si>
  <si>
    <t xml:space="preserve">Maximum RPM [rev/min]</t>
  </si>
  <si>
    <t xml:space="preserve">n Maximum RPS [rev/sec]</t>
  </si>
  <si>
    <t xml:space="preserve">w Maximum angular velocity [rad/sec]</t>
  </si>
  <si>
    <t xml:space="preserve">P Maximum Motor power [W]</t>
  </si>
  <si>
    <t xml:space="preserve">ρ Air density at 20ºC [kg/m^3]</t>
  </si>
  <si>
    <t xml:space="preserve">Q Maximum Torque [N*m]</t>
  </si>
  <si>
    <t xml:space="preserve">angular velocity of each motor when 50% throttle [rad/sec]</t>
  </si>
  <si>
    <t xml:space="preserve">Max Motor Efficiency [g/W]</t>
  </si>
  <si>
    <t xml:space="preserve">Max Applied Voltage [V]</t>
  </si>
  <si>
    <t xml:space="preserve">Kv [RPM/V]</t>
  </si>
  <si>
    <t xml:space="preserve">Result Variable name of PX4</t>
  </si>
  <si>
    <t xml:space="preserve">CT Thrust coefficient [dimensionless]</t>
  </si>
  <si>
    <t xml:space="preserve">CQ Torque coefficient [dimensionless]</t>
  </si>
  <si>
    <t xml:space="preserve">CP Power coefficient [dimensionless]</t>
  </si>
  <si>
    <t xml:space="preserve">mot_kv [V]</t>
  </si>
  <si>
    <t xml:space="preserve">CA_ROTOR0_CT </t>
  </si>
  <si>
    <t xml:space="preserve">CA_ROTOR0_KM </t>
  </si>
  <si>
    <t xml:space="preserve">Result Variable name of Gazebo</t>
  </si>
  <si>
    <t xml:space="preserve">b = motorConstant [kg*m] = [N*s^2/rad^2]</t>
  </si>
  <si>
    <t xml:space="preserve">motorconstant = thrust coefficient</t>
  </si>
  <si>
    <t xml:space="preserve">d = momentConstant [m]</t>
  </si>
  <si>
    <t xml:space="preserve">rotorDragCoefficient [kg]</t>
  </si>
  <si>
    <t xml:space="preserve">rotorDragCoefficient</t>
  </si>
  <si>
    <t xml:space="preserve">Research on the Endurance Optimisation of Multirotor UAVs for High-Altitude Environments</t>
  </si>
  <si>
    <t xml:space="preserve">rollingMomentCoefficient [kg*m]</t>
  </si>
  <si>
    <t xml:space="preserve">rollingMomentCoefficient</t>
  </si>
  <si>
    <t xml:space="preserve">maxRotVelocity [rad/s] : </t>
  </si>
  <si>
    <t xml:space="preserve">Result Variable name of simulink</t>
  </si>
  <si>
    <t xml:space="preserve">b = motorConstant [N*s^2/rad^2]</t>
  </si>
  <si>
    <r>
      <rPr>
        <sz val="10"/>
        <rFont val="Noto Sans CJK SC"/>
        <family val="2"/>
        <charset val="1"/>
      </rPr>
      <t xml:space="preserve">이유는 </t>
    </r>
    <r>
      <rPr>
        <sz val="10"/>
        <rFont val="Arial"/>
        <family val="2"/>
        <charset val="1"/>
      </rPr>
      <t xml:space="preserve">gazebo</t>
    </r>
    <r>
      <rPr>
        <sz val="10"/>
        <rFont val="Noto Sans CJK SC"/>
        <family val="2"/>
        <charset val="1"/>
      </rPr>
      <t xml:space="preserve">의 모터 속도는 </t>
    </r>
    <r>
      <rPr>
        <sz val="10"/>
        <rFont val="Arial"/>
        <family val="2"/>
        <charset val="1"/>
      </rPr>
      <t xml:space="preserve">210</t>
    </r>
    <r>
      <rPr>
        <sz val="10"/>
        <rFont val="Noto Sans CJK SC"/>
        <family val="2"/>
        <charset val="1"/>
      </rPr>
      <t xml:space="preserve">일때 </t>
    </r>
    <r>
      <rPr>
        <sz val="10"/>
        <rFont val="Arial"/>
        <family val="2"/>
        <charset val="1"/>
      </rPr>
      <t xml:space="preserve">matlab</t>
    </r>
    <r>
      <rPr>
        <sz val="10"/>
        <rFont val="Noto Sans CJK SC"/>
        <family val="2"/>
        <charset val="1"/>
      </rPr>
      <t xml:space="preserve">은 </t>
    </r>
    <r>
      <rPr>
        <sz val="10"/>
        <rFont val="Arial"/>
        <family val="2"/>
        <charset val="1"/>
      </rPr>
      <t xml:space="preserve">21</t>
    </r>
    <r>
      <rPr>
        <sz val="10"/>
        <rFont val="Noto Sans CJK SC"/>
        <family val="2"/>
        <charset val="1"/>
      </rPr>
      <t xml:space="preserve">이기 때문</t>
    </r>
  </si>
  <si>
    <t xml:space="preserve">d = momentConstant [N*m*s^2/rad^2]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</si>
</sst>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690840</xdr:colOff>
      <xdr:row>22</xdr:row>
      <xdr:rowOff>40320</xdr:rowOff>
    </xdr:from>
    <xdr:to>
      <xdr:col>9</xdr:col>
      <xdr:colOff>713160</xdr:colOff>
      <xdr:row>27</xdr:row>
      <xdr:rowOff>34200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273840" y="3616560"/>
          <a:ext cx="4133880" cy="806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644760</xdr:colOff>
      <xdr:row>36</xdr:row>
      <xdr:rowOff>52560</xdr:rowOff>
    </xdr:from>
    <xdr:to>
      <xdr:col>9</xdr:col>
      <xdr:colOff>514080</xdr:colOff>
      <xdr:row>40</xdr:row>
      <xdr:rowOff>60840</xdr:rowOff>
    </xdr:to>
    <xdr:pic>
      <xdr:nvPicPr>
        <xdr:cNvPr id="1" name="Image 2" descr=""/>
        <xdr:cNvPicPr/>
      </xdr:nvPicPr>
      <xdr:blipFill>
        <a:blip r:embed="rId2"/>
        <a:srcRect l="0" t="84406" r="0" b="0"/>
        <a:stretch/>
      </xdr:blipFill>
      <xdr:spPr>
        <a:xfrm>
          <a:off x="12227760" y="5904720"/>
          <a:ext cx="3980880" cy="6944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683640</xdr:colOff>
      <xdr:row>27</xdr:row>
      <xdr:rowOff>70920</xdr:rowOff>
    </xdr:from>
    <xdr:to>
      <xdr:col>9</xdr:col>
      <xdr:colOff>613080</xdr:colOff>
      <xdr:row>35</xdr:row>
      <xdr:rowOff>114120</xdr:rowOff>
    </xdr:to>
    <xdr:pic>
      <xdr:nvPicPr>
        <xdr:cNvPr id="2" name="Image 2_0" descr=""/>
        <xdr:cNvPicPr/>
      </xdr:nvPicPr>
      <xdr:blipFill>
        <a:blip r:embed="rId3"/>
        <a:srcRect l="0" t="0" r="0" b="70443"/>
        <a:stretch/>
      </xdr:blipFill>
      <xdr:spPr>
        <a:xfrm>
          <a:off x="12266640" y="4460040"/>
          <a:ext cx="4041000" cy="1343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333000</xdr:colOff>
      <xdr:row>1</xdr:row>
      <xdr:rowOff>106200</xdr:rowOff>
    </xdr:from>
    <xdr:to>
      <xdr:col>7</xdr:col>
      <xdr:colOff>5400</xdr:colOff>
      <xdr:row>16</xdr:row>
      <xdr:rowOff>109080</xdr:rowOff>
    </xdr:to>
    <xdr:pic>
      <xdr:nvPicPr>
        <xdr:cNvPr id="3" name="그림 1" descr=""/>
        <xdr:cNvPicPr/>
      </xdr:nvPicPr>
      <xdr:blipFill>
        <a:blip r:embed="rId4"/>
        <a:stretch/>
      </xdr:blipFill>
      <xdr:spPr>
        <a:xfrm>
          <a:off x="8699040" y="268560"/>
          <a:ext cx="5356080" cy="2441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728280</xdr:colOff>
      <xdr:row>20</xdr:row>
      <xdr:rowOff>3600</xdr:rowOff>
    </xdr:from>
    <xdr:to>
      <xdr:col>10</xdr:col>
      <xdr:colOff>754560</xdr:colOff>
      <xdr:row>21</xdr:row>
      <xdr:rowOff>129600</xdr:rowOff>
    </xdr:to>
    <xdr:pic>
      <xdr:nvPicPr>
        <xdr:cNvPr id="4" name="Image 3" descr=""/>
        <xdr:cNvPicPr/>
      </xdr:nvPicPr>
      <xdr:blipFill>
        <a:blip r:embed="rId5"/>
        <a:stretch/>
      </xdr:blipFill>
      <xdr:spPr>
        <a:xfrm>
          <a:off x="12311280" y="3254760"/>
          <a:ext cx="4960080" cy="288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693720</xdr:colOff>
      <xdr:row>41</xdr:row>
      <xdr:rowOff>146880</xdr:rowOff>
    </xdr:from>
    <xdr:to>
      <xdr:col>9</xdr:col>
      <xdr:colOff>768600</xdr:colOff>
      <xdr:row>50</xdr:row>
      <xdr:rowOff>122400</xdr:rowOff>
    </xdr:to>
    <xdr:pic>
      <xdr:nvPicPr>
        <xdr:cNvPr id="5" name="Image 4" descr=""/>
        <xdr:cNvPicPr/>
      </xdr:nvPicPr>
      <xdr:blipFill>
        <a:blip r:embed="rId6"/>
        <a:stretch/>
      </xdr:blipFill>
      <xdr:spPr>
        <a:xfrm>
          <a:off x="12276720" y="6847920"/>
          <a:ext cx="4186440" cy="14385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756000</xdr:colOff>
      <xdr:row>51</xdr:row>
      <xdr:rowOff>97920</xdr:rowOff>
    </xdr:from>
    <xdr:to>
      <xdr:col>9</xdr:col>
      <xdr:colOff>679680</xdr:colOff>
      <xdr:row>58</xdr:row>
      <xdr:rowOff>154080</xdr:rowOff>
    </xdr:to>
    <xdr:pic>
      <xdr:nvPicPr>
        <xdr:cNvPr id="6" name="Image 5" descr=""/>
        <xdr:cNvPicPr/>
      </xdr:nvPicPr>
      <xdr:blipFill>
        <a:blip r:embed="rId7"/>
        <a:stretch/>
      </xdr:blipFill>
      <xdr:spPr>
        <a:xfrm>
          <a:off x="12339000" y="8424360"/>
          <a:ext cx="4035240" cy="11941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72265625" defaultRowHeight="12.7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19.42"/>
    <col collapsed="false" customWidth="true" hidden="false" outlineLevel="0" max="5" min="4" style="0" width="13.57"/>
    <col collapsed="false" customWidth="true" hidden="false" outlineLevel="0" max="6" min="6" style="0" width="33"/>
  </cols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  <c r="B2" s="0" t="n">
        <v>4063</v>
      </c>
    </row>
    <row r="3" customFormat="false" ht="12.75" hidden="false" customHeight="false" outlineLevel="0" collapsed="false">
      <c r="A3" s="0" t="s">
        <v>2</v>
      </c>
      <c r="B3" s="0" t="n">
        <f aca="false">B2/60</f>
        <v>67.7166666666667</v>
      </c>
    </row>
    <row r="4" customFormat="false" ht="12.75" hidden="false" customHeight="false" outlineLevel="0" collapsed="false">
      <c r="A4" s="2" t="s">
        <v>3</v>
      </c>
      <c r="B4" s="0" t="n">
        <v>96.9</v>
      </c>
    </row>
    <row r="5" customFormat="false" ht="12.75" hidden="false" customHeight="false" outlineLevel="0" collapsed="false">
      <c r="A5" s="0" t="s">
        <v>4</v>
      </c>
      <c r="B5" s="0" t="n">
        <v>1894.648</v>
      </c>
      <c r="E5" s="3"/>
      <c r="G5" s="3"/>
      <c r="H5" s="3"/>
    </row>
    <row r="6" customFormat="false" ht="12.75" hidden="false" customHeight="false" outlineLevel="0" collapsed="false">
      <c r="A6" s="0" t="s">
        <v>5</v>
      </c>
      <c r="B6" s="0" t="n">
        <v>0.7112</v>
      </c>
    </row>
    <row r="7" customFormat="false" ht="12.75" hidden="false" customHeight="false" outlineLevel="0" collapsed="false">
      <c r="A7" s="0" t="s">
        <v>6</v>
      </c>
      <c r="B7" s="0" t="n">
        <v>1.2041</v>
      </c>
    </row>
    <row r="8" customFormat="false" ht="12.75" hidden="false" customHeight="false" outlineLevel="0" collapsed="false">
      <c r="A8" s="0" t="s">
        <v>7</v>
      </c>
      <c r="B8" s="0" t="n">
        <v>3.14159265359</v>
      </c>
    </row>
    <row r="11" customFormat="false" ht="12.75" hidden="false" customHeight="false" outlineLevel="0" collapsed="false">
      <c r="A11" s="1" t="s">
        <v>8</v>
      </c>
    </row>
    <row r="12" customFormat="false" ht="12.75" hidden="false" customHeight="false" outlineLevel="0" collapsed="false">
      <c r="A12" s="0" t="s">
        <v>9</v>
      </c>
      <c r="B12" s="0" t="n">
        <f aca="false">B4/(B7*B3^2*B6^4)</f>
        <v>0.0685966781137357</v>
      </c>
    </row>
    <row r="13" customFormat="false" ht="12.75" hidden="false" customHeight="false" outlineLevel="0" collapsed="false">
      <c r="A13" s="0" t="s">
        <v>10</v>
      </c>
      <c r="B13" s="0" t="n">
        <f aca="false">B14/(2*B8)</f>
        <v>0.00443241744363632</v>
      </c>
    </row>
    <row r="14" customFormat="false" ht="12.75" hidden="false" customHeight="false" outlineLevel="0" collapsed="false">
      <c r="A14" s="0" t="s">
        <v>11</v>
      </c>
      <c r="B14" s="0" t="n">
        <f aca="false">B5/(B7*B3^3*B6^5)</f>
        <v>0.027849700157144</v>
      </c>
    </row>
    <row r="15" customFormat="false" ht="12.75" hidden="false" customHeight="false" outlineLevel="0" collapsed="false">
      <c r="A15" s="4" t="s">
        <v>12</v>
      </c>
      <c r="B15" s="0" t="n">
        <f aca="false">B12*B7*B6^4/(2*B8)^2</f>
        <v>0.000535269991447592</v>
      </c>
    </row>
    <row r="16" customFormat="false" ht="12.75" hidden="false" customHeight="false" outlineLevel="0" collapsed="false">
      <c r="A16" s="4" t="s">
        <v>13</v>
      </c>
      <c r="B16" s="0" t="n">
        <f aca="false">B6*B13/B12</f>
        <v>0.0459546347227991</v>
      </c>
    </row>
    <row r="17" customFormat="false" ht="12.75" hidden="false" customHeight="false" outlineLevel="0" collapsed="false">
      <c r="A17" s="0" t="s">
        <v>14</v>
      </c>
    </row>
    <row r="18" customFormat="false" ht="12.75" hidden="false" customHeight="false" outlineLevel="0" collapsed="false">
      <c r="A18" s="0" t="s">
        <v>15</v>
      </c>
    </row>
    <row r="20" customFormat="false" ht="12.75" hidden="false" customHeight="false" outlineLevel="0" collapsed="false">
      <c r="A20" s="1" t="s">
        <v>16</v>
      </c>
    </row>
    <row r="21" customFormat="false" ht="12.75" hidden="false" customHeight="false" outlineLevel="0" collapsed="false">
      <c r="A21" s="0" t="s">
        <v>17</v>
      </c>
      <c r="B21" s="0" t="n">
        <v>5.781E-006</v>
      </c>
    </row>
    <row r="22" customFormat="false" ht="12.75" hidden="false" customHeight="false" outlineLevel="0" collapsed="false">
      <c r="A22" s="0" t="s">
        <v>18</v>
      </c>
      <c r="B22" s="0" t="n">
        <v>1.839E-007</v>
      </c>
    </row>
    <row r="23" customFormat="false" ht="12.75" hidden="false" customHeight="false" outlineLevel="0" collapsed="false">
      <c r="A23" s="0" t="s">
        <v>19</v>
      </c>
      <c r="B23" s="3" t="n">
        <v>2.445E-008</v>
      </c>
    </row>
    <row r="24" customFormat="false" ht="12.75" hidden="false" customHeight="false" outlineLevel="0" collapsed="false">
      <c r="A24" s="0" t="s">
        <v>20</v>
      </c>
      <c r="B24" s="0" t="n">
        <f aca="false">B21/(B7*B6^4)*60^2</f>
        <v>0.0675578658698242</v>
      </c>
    </row>
    <row r="25" customFormat="false" ht="12.75" hidden="false" customHeight="false" outlineLevel="0" collapsed="false">
      <c r="A25" s="0" t="s">
        <v>21</v>
      </c>
      <c r="B25" s="0" t="n">
        <f aca="false">B22/(B7*B6^5)*60^2</f>
        <v>0.00302178063565079</v>
      </c>
    </row>
    <row r="26" customFormat="false" ht="12.75" hidden="false" customHeight="false" outlineLevel="0" collapsed="false">
      <c r="A26" s="0" t="s">
        <v>22</v>
      </c>
      <c r="B26" s="3" t="n">
        <f aca="false">B23/(B7*B6^5)*60^3</f>
        <v>0.0241052321506238</v>
      </c>
    </row>
    <row r="27" customFormat="false" ht="12.75" hidden="false" customHeight="false" outlineLevel="0" collapsed="false">
      <c r="A27" s="4" t="s">
        <v>12</v>
      </c>
      <c r="B27" s="0" t="n">
        <f aca="false">B21/(2*B8)^2*60^2</f>
        <v>0.00052716398637265</v>
      </c>
    </row>
    <row r="28" customFormat="false" ht="12.75" hidden="false" customHeight="false" outlineLevel="0" collapsed="false">
      <c r="A28" s="4" t="s">
        <v>23</v>
      </c>
      <c r="B28" s="0" t="n">
        <f aca="false">B25/B24*B6</f>
        <v>0.031811105345096</v>
      </c>
    </row>
    <row r="29" customFormat="false" ht="12.75" hidden="false" customHeight="false" outlineLevel="0" collapsed="false">
      <c r="A29" s="4" t="s">
        <v>24</v>
      </c>
      <c r="B29" s="3" t="n">
        <f aca="false">(B26/(2*B8))/B24</f>
        <v>0.056787863289548</v>
      </c>
      <c r="D29" s="3"/>
    </row>
    <row r="30" customFormat="false" ht="12.75" hidden="false" customHeight="false" outlineLevel="0" collapsed="false">
      <c r="D30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34" activeCellId="0" sqref="D34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50.57"/>
    <col collapsed="false" customWidth="true" hidden="false" outlineLevel="0" max="2" min="2" style="0" width="18.58"/>
    <col collapsed="false" customWidth="true" hidden="false" outlineLevel="0" max="3" min="3" style="0" width="49.42"/>
    <col collapsed="false" customWidth="true" hidden="false" outlineLevel="0" max="4" min="4" style="0" width="45.5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25</v>
      </c>
      <c r="B2" s="0" t="n">
        <v>4063</v>
      </c>
    </row>
    <row r="3" customFormat="false" ht="12.8" hidden="false" customHeight="false" outlineLevel="0" collapsed="false">
      <c r="A3" s="0" t="s">
        <v>26</v>
      </c>
      <c r="B3" s="0" t="n">
        <f aca="false">B2/60</f>
        <v>67.7166666666667</v>
      </c>
    </row>
    <row r="4" customFormat="false" ht="12.8" hidden="false" customHeight="false" outlineLevel="0" collapsed="false">
      <c r="A4" s="0" t="s">
        <v>27</v>
      </c>
      <c r="B4" s="0" t="n">
        <f aca="false">B2/60*2*B9</f>
        <v>425.476365051206</v>
      </c>
    </row>
    <row r="5" customFormat="false" ht="12.8" hidden="false" customHeight="false" outlineLevel="0" collapsed="false">
      <c r="A5" s="2" t="s">
        <v>3</v>
      </c>
      <c r="B5" s="0" t="n">
        <f aca="false">9847*0.001*9.81</f>
        <v>96.59907</v>
      </c>
    </row>
    <row r="6" customFormat="false" ht="12.8" hidden="false" customHeight="false" outlineLevel="0" collapsed="false">
      <c r="A6" s="0" t="s">
        <v>28</v>
      </c>
      <c r="B6" s="0" t="n">
        <v>1674</v>
      </c>
    </row>
    <row r="7" customFormat="false" ht="12.8" hidden="false" customHeight="false" outlineLevel="0" collapsed="false">
      <c r="A7" s="0" t="s">
        <v>5</v>
      </c>
      <c r="B7" s="0" t="n">
        <v>0.7112</v>
      </c>
    </row>
    <row r="8" customFormat="false" ht="12.8" hidden="false" customHeight="false" outlineLevel="0" collapsed="false">
      <c r="A8" s="0" t="s">
        <v>29</v>
      </c>
      <c r="B8" s="0" t="n">
        <v>1.2041</v>
      </c>
    </row>
    <row r="9" customFormat="false" ht="12.8" hidden="false" customHeight="false" outlineLevel="0" collapsed="false">
      <c r="A9" s="0" t="s">
        <v>7</v>
      </c>
      <c r="B9" s="0" t="n">
        <v>3.14159265359</v>
      </c>
    </row>
    <row r="10" customFormat="false" ht="12.8" hidden="false" customHeight="false" outlineLevel="0" collapsed="false">
      <c r="A10" s="0" t="s">
        <v>30</v>
      </c>
      <c r="B10" s="0" t="n">
        <v>3.07</v>
      </c>
    </row>
    <row r="11" customFormat="false" ht="12.8" hidden="false" customHeight="false" outlineLevel="0" collapsed="false">
      <c r="A11" s="0" t="s">
        <v>31</v>
      </c>
      <c r="B11" s="0" t="n">
        <f aca="false">B4/2</f>
        <v>212.738182525603</v>
      </c>
    </row>
    <row r="12" customFormat="false" ht="12.8" hidden="false" customHeight="false" outlineLevel="0" collapsed="false">
      <c r="A12" s="5" t="s">
        <v>32</v>
      </c>
      <c r="B12" s="0" t="n">
        <v>12.14</v>
      </c>
    </row>
    <row r="13" customFormat="false" ht="12.8" hidden="false" customHeight="false" outlineLevel="0" collapsed="false">
      <c r="A13" s="0" t="s">
        <v>33</v>
      </c>
      <c r="B13" s="0" t="n">
        <v>48</v>
      </c>
    </row>
    <row r="14" customFormat="false" ht="12.8" hidden="false" customHeight="false" outlineLevel="0" collapsed="false">
      <c r="A14" s="0" t="s">
        <v>34</v>
      </c>
      <c r="B14" s="0" t="n">
        <v>110</v>
      </c>
    </row>
    <row r="15" customFormat="false" ht="12.8" hidden="false" customHeight="false" outlineLevel="0" collapsed="false">
      <c r="D15" s="2"/>
    </row>
    <row r="18" customFormat="false" ht="12.8" hidden="false" customHeight="false" outlineLevel="0" collapsed="false">
      <c r="A18" s="1" t="s">
        <v>35</v>
      </c>
    </row>
    <row r="19" customFormat="false" ht="12.8" hidden="false" customHeight="false" outlineLevel="0" collapsed="false">
      <c r="A19" s="0" t="s">
        <v>36</v>
      </c>
      <c r="B19" s="0" t="n">
        <f aca="false">B5/(B8*B3^2*B7^4)</f>
        <v>0.0683836461390734</v>
      </c>
    </row>
    <row r="20" customFormat="false" ht="12.8" hidden="false" customHeight="false" outlineLevel="0" collapsed="false">
      <c r="A20" s="0" t="s">
        <v>37</v>
      </c>
      <c r="B20" s="0" t="n">
        <f aca="false">B10/(B8*B3^2*B7^5)</f>
        <v>0.00305580709835567</v>
      </c>
    </row>
    <row r="21" customFormat="false" ht="12.8" hidden="false" customHeight="false" outlineLevel="0" collapsed="false">
      <c r="A21" s="0" t="s">
        <v>38</v>
      </c>
      <c r="B21" s="0" t="n">
        <f aca="false">B6/(B8*B3^3*B7^5)</f>
        <v>0.0246063638538975</v>
      </c>
    </row>
    <row r="22" customFormat="false" ht="12.8" hidden="false" customHeight="false" outlineLevel="0" collapsed="false">
      <c r="A22" s="2" t="s">
        <v>39</v>
      </c>
      <c r="B22" s="0" t="n">
        <v>110</v>
      </c>
    </row>
    <row r="23" customFormat="false" ht="12.8" hidden="false" customHeight="false" outlineLevel="0" collapsed="false">
      <c r="A23" s="2" t="s">
        <v>40</v>
      </c>
      <c r="B23" s="0" t="n">
        <v>6.5</v>
      </c>
    </row>
    <row r="24" customFormat="false" ht="12.8" hidden="false" customHeight="false" outlineLevel="0" collapsed="false">
      <c r="A24" s="2" t="s">
        <v>41</v>
      </c>
      <c r="B24" s="0" t="n">
        <v>0.05</v>
      </c>
    </row>
    <row r="26" customFormat="false" ht="12.8" hidden="false" customHeight="false" outlineLevel="0" collapsed="false">
      <c r="C26" s="2"/>
    </row>
    <row r="28" customFormat="false" ht="12.8" hidden="false" customHeight="false" outlineLevel="0" collapsed="false">
      <c r="A28" s="1" t="s">
        <v>42</v>
      </c>
    </row>
    <row r="29" customFormat="false" ht="12.8" hidden="false" customHeight="false" outlineLevel="0" collapsed="false">
      <c r="A29" s="6" t="s">
        <v>43</v>
      </c>
      <c r="B29" s="0" t="n">
        <f aca="false">B19*B8*B7^4/(2*B9)^2</f>
        <v>0.000533607671545359</v>
      </c>
      <c r="C29" s="0" t="s">
        <v>44</v>
      </c>
    </row>
    <row r="30" customFormat="false" ht="12.8" hidden="false" customHeight="false" outlineLevel="0" collapsed="false">
      <c r="A30" s="6" t="s">
        <v>45</v>
      </c>
      <c r="B30" s="0" t="n">
        <f aca="false">B7*B20/B19</f>
        <v>0.0317808442669272</v>
      </c>
    </row>
    <row r="31" customFormat="false" ht="12.8" hidden="false" customHeight="false" outlineLevel="0" collapsed="false">
      <c r="A31" s="2" t="s">
        <v>46</v>
      </c>
      <c r="B31" s="0" t="n">
        <f aca="false">B5/(B8*(B14*B13*B12/60)^2 *B7^4)</f>
        <v>0.000274751884109557</v>
      </c>
      <c r="C31" s="0" t="s">
        <v>47</v>
      </c>
      <c r="D31" s="0" t="s">
        <v>48</v>
      </c>
    </row>
    <row r="32" customFormat="false" ht="12.8" hidden="false" customHeight="false" outlineLevel="0" collapsed="false">
      <c r="A32" s="2" t="s">
        <v>49</v>
      </c>
      <c r="C32" s="0" t="s">
        <v>50</v>
      </c>
    </row>
    <row r="33" customFormat="false" ht="12.8" hidden="false" customHeight="false" outlineLevel="0" collapsed="false">
      <c r="A33" s="0" t="s">
        <v>51</v>
      </c>
      <c r="B33" s="0" t="n">
        <f aca="false">B2*2*B9/60</f>
        <v>425.476365051206</v>
      </c>
    </row>
    <row r="39" customFormat="false" ht="12.8" hidden="false" customHeight="false" outlineLevel="0" collapsed="false">
      <c r="A39" s="1" t="s">
        <v>52</v>
      </c>
    </row>
    <row r="40" customFormat="false" ht="15.65" hidden="false" customHeight="false" outlineLevel="0" collapsed="false">
      <c r="A40" s="0" t="s">
        <v>53</v>
      </c>
      <c r="B40" s="0" t="n">
        <f aca="false">B29</f>
        <v>0.000533607671545359</v>
      </c>
      <c r="C40" s="7" t="s">
        <v>54</v>
      </c>
    </row>
    <row r="41" customFormat="false" ht="12.8" hidden="false" customHeight="false" outlineLevel="0" collapsed="false">
      <c r="A41" s="0" t="s">
        <v>55</v>
      </c>
      <c r="B41" s="0" t="n">
        <f aca="false">(B20*B8*B7^5)/(2*B9)^2</f>
        <v>1.69585023090207E-005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2019-10-28T14:59:39Z</dcterms:created>
  <dc:creator/>
  <dc:description/>
  <dc:language>en-US</dc:language>
  <cp:lastModifiedBy/>
  <dcterms:modified xsi:type="dcterms:W3CDTF">2025-07-09T14:43:46Z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