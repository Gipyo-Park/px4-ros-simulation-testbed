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tackr0-my.sharepoint.com/personal/kangmin7_unist_ac_kr/Documents/바탕 화면/Octocopter_Spec/"/>
    </mc:Choice>
  </mc:AlternateContent>
  <xr:revisionPtr revIDLastSave="1" documentId="13_ncr:1_{12D65707-8C8F-43FC-9116-622B8855BDF2}" xr6:coauthVersionLast="46" xr6:coauthVersionMax="46" xr10:uidLastSave="{0DD121DC-6021-4F36-BFF3-07F6F8D292FA}"/>
  <bookViews>
    <workbookView minimized="1" xWindow="7230" yWindow="3270" windowWidth="21600" windowHeight="11385" activeTab="1" xr2:uid="{F392DB3D-3A07-4D47-9334-791388692452}"/>
  </bookViews>
  <sheets>
    <sheet name="정리" sheetId="9" r:id="rId1"/>
    <sheet name="옥타(20kg)" sheetId="6" r:id="rId2"/>
    <sheet name="옥타(40kg)" sheetId="7" r:id="rId3"/>
    <sheet name="옥타(200kg)" sheetId="8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9" l="1"/>
  <c r="G36" i="9"/>
  <c r="G37" i="9"/>
  <c r="G38" i="9"/>
  <c r="G39" i="9"/>
  <c r="G34" i="9"/>
  <c r="G28" i="9"/>
  <c r="G29" i="9"/>
  <c r="G30" i="9"/>
  <c r="G31" i="9"/>
  <c r="G32" i="9"/>
  <c r="G27" i="9"/>
  <c r="G22" i="9"/>
  <c r="G19" i="9"/>
  <c r="G20" i="9"/>
  <c r="G21" i="9"/>
  <c r="G18" i="9"/>
  <c r="G13" i="9"/>
  <c r="G10" i="9"/>
  <c r="G11" i="9"/>
  <c r="G12" i="9"/>
  <c r="G9" i="9"/>
  <c r="G4" i="9"/>
  <c r="G5" i="9"/>
  <c r="G6" i="9"/>
  <c r="G7" i="9"/>
  <c r="G3" i="9"/>
  <c r="L2" i="8"/>
  <c r="M2" i="8"/>
  <c r="L3" i="8" a="1"/>
  <c r="L3" i="8" s="1"/>
  <c r="M3" i="8" a="1"/>
  <c r="M3" i="8" s="1"/>
  <c r="M3" i="7" a="1"/>
  <c r="M3" i="7" s="1"/>
  <c r="L3" i="7" a="1"/>
  <c r="L3" i="7" s="1"/>
  <c r="M2" i="7"/>
  <c r="L2" i="7"/>
  <c r="M2" i="6"/>
  <c r="L2" i="6"/>
  <c r="L3" i="6" a="1"/>
  <c r="L3" i="6" s="1"/>
  <c r="M3" i="6" a="1"/>
  <c r="M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<sst xmlns="http://schemas.openxmlformats.org/spreadsheetml/2006/main" count="114" uniqueCount="48">
  <si>
    <t>ESC</t>
    <phoneticPr fontId="1" type="noConversion"/>
  </si>
  <si>
    <t>Motor</t>
    <phoneticPr fontId="1" type="noConversion"/>
  </si>
  <si>
    <t>Prop</t>
    <phoneticPr fontId="1" type="noConversion"/>
  </si>
  <si>
    <t>Battery</t>
    <phoneticPr fontId="1" type="noConversion"/>
  </si>
  <si>
    <t>U11 KV120</t>
    <phoneticPr fontId="1" type="noConversion"/>
  </si>
  <si>
    <t>100A</t>
    <phoneticPr fontId="1" type="noConversion"/>
  </si>
  <si>
    <t>Voltage(V)</t>
    <phoneticPr fontId="1" type="noConversion"/>
  </si>
  <si>
    <t>Throttle(%)</t>
    <phoneticPr fontId="1" type="noConversion"/>
  </si>
  <si>
    <t>Current(A)</t>
    <phoneticPr fontId="1" type="noConversion"/>
  </si>
  <si>
    <t>Power(W)</t>
    <phoneticPr fontId="1" type="noConversion"/>
  </si>
  <si>
    <t>Thrust(G)</t>
    <phoneticPr fontId="1" type="noConversion"/>
  </si>
  <si>
    <t>RPM</t>
    <phoneticPr fontId="1" type="noConversion"/>
  </si>
  <si>
    <t>Efficiency(G/W)</t>
    <phoneticPr fontId="1" type="noConversion"/>
  </si>
  <si>
    <t>관련사이트</t>
    <phoneticPr fontId="1" type="noConversion"/>
  </si>
  <si>
    <t>12S</t>
    <phoneticPr fontId="1" type="noConversion"/>
  </si>
  <si>
    <t>60A</t>
    <phoneticPr fontId="1" type="noConversion"/>
  </si>
  <si>
    <t>28인치카본프롭</t>
    <phoneticPr fontId="1" type="noConversion"/>
  </si>
  <si>
    <t>U8 PRO KV170</t>
    <phoneticPr fontId="1" type="noConversion"/>
  </si>
  <si>
    <t>40A</t>
    <phoneticPr fontId="1" type="noConversion"/>
  </si>
  <si>
    <t>6S</t>
    <phoneticPr fontId="1" type="noConversion"/>
  </si>
  <si>
    <t>U8 Lite L KV110</t>
    <phoneticPr fontId="1" type="noConversion"/>
  </si>
  <si>
    <t>옥타설계시 Thrust(G)</t>
    <phoneticPr fontId="1" type="noConversion"/>
  </si>
  <si>
    <t>옥타설계시 Current(mA)/분</t>
    <phoneticPr fontId="1" type="noConversion"/>
  </si>
  <si>
    <t>https://artcopter.com/product/detail.html?product_no=878&amp;cate_no=25&amp;display_group=1</t>
    <phoneticPr fontId="1" type="noConversion"/>
  </si>
  <si>
    <t>https://artcopter.com/product/detail.html?product_no=64&amp;cate_no=99&amp;display_group=1</t>
    <phoneticPr fontId="1" type="noConversion"/>
  </si>
  <si>
    <t>U15L KV43</t>
    <phoneticPr fontId="1" type="noConversion"/>
  </si>
  <si>
    <t>U15XL KV38</t>
    <phoneticPr fontId="1" type="noConversion"/>
  </si>
  <si>
    <t>47인치카본프롭</t>
    <phoneticPr fontId="1" type="noConversion"/>
  </si>
  <si>
    <t>24S</t>
    <phoneticPr fontId="1" type="noConversion"/>
  </si>
  <si>
    <t>52인치카본프롭</t>
    <phoneticPr fontId="1" type="noConversion"/>
  </si>
  <si>
    <t>280A</t>
    <phoneticPr fontId="1" type="noConversion"/>
  </si>
  <si>
    <t>https://artcopter.com/product/detail.html?product_no=787&amp;cate_no=329&amp;display_group=1</t>
    <phoneticPr fontId="1" type="noConversion"/>
  </si>
  <si>
    <t>https://artcopter.com/product/detail.html?product_no=788&amp;cate_no=329&amp;display_group=1</t>
    <phoneticPr fontId="1" type="noConversion"/>
  </si>
  <si>
    <t>https://artcopter.com/product/detail.html?product_no=68&amp;cate_no=25&amp;display_group=1</t>
    <phoneticPr fontId="1" type="noConversion"/>
  </si>
  <si>
    <t>모터 모델</t>
    <phoneticPr fontId="1" type="noConversion"/>
  </si>
  <si>
    <t>프롭</t>
    <phoneticPr fontId="1" type="noConversion"/>
  </si>
  <si>
    <t>1차년도 12kg H 타입 모터 프롭</t>
    <phoneticPr fontId="1" type="noConversion"/>
  </si>
  <si>
    <t>(추정)</t>
    <phoneticPr fontId="1" type="noConversion"/>
  </si>
  <si>
    <t>2차년도 40kg H 타입 모터 프롭</t>
    <phoneticPr fontId="1" type="noConversion"/>
  </si>
  <si>
    <t>3차년도 200kg H 타입 모터 프롭</t>
    <phoneticPr fontId="1" type="noConversion"/>
  </si>
  <si>
    <t>Thrust(kg)* 8축</t>
    <phoneticPr fontId="1" type="noConversion"/>
  </si>
  <si>
    <t>https://store.tmotor.com/goods.php?id=409</t>
  </si>
  <si>
    <t>https://store.tmotor.com/goods.php?id=1081</t>
  </si>
  <si>
    <t>https://store.tmotor.com/goods.php?id=325</t>
  </si>
  <si>
    <t>https://store.tmotor.com/goods.php?id=328</t>
  </si>
  <si>
    <t>http://shop2.artcopter.cafe24.com/product/t-motor-u15l-kv43-bl-motor/787/?cate_no=32&amp;display_group=1</t>
  </si>
  <si>
    <t>http://shop2.artcopter.cafe24.com/product/t-motor-u15xl-kv38-bl-motor/788/?cate_no=32&amp;display_group=1</t>
  </si>
  <si>
    <t>https://store-en.tmotor.com/goods.php?id=920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</si>
</sst>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U8 Lite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정리!$D$3:$D$7</c:f>
              <c:numCache>
                <c:formatCode>General</c:formatCode>
                <c:ptCount val="5"/>
                <c:pt idx="0">
                  <c:v>50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100</c:v>
                </c:pt>
              </c:numCache>
            </c:numRef>
          </c:cat>
          <c:val>
            <c:numRef>
              <c:f>정리!$F$3:$F$7</c:f>
              <c:numCache>
                <c:formatCode>General</c:formatCode>
                <c:ptCount val="5"/>
                <c:pt idx="0">
                  <c:v>3075</c:v>
                </c:pt>
                <c:pt idx="1">
                  <c:v>4543</c:v>
                </c:pt>
                <c:pt idx="2">
                  <c:v>6083</c:v>
                </c:pt>
                <c:pt idx="3">
                  <c:v>7500</c:v>
                </c:pt>
                <c:pt idx="4">
                  <c:v>9847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4-4EFD-B53D-289946620CBF}"/>
            </c:ext>
          </c:extLst>
        </c:ser>
        <c:ser>
          <c:idx val="1"/>
          <c:order val="1"/>
          <c:tx>
            <c:v>U8 PRO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정리!$D$3:$D$7</c:f>
              <c:numCache>
                <c:formatCode>General</c:formatCode>
                <c:ptCount val="5"/>
                <c:pt idx="0">
                  <c:v>50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100</c:v>
                </c:pt>
              </c:numCache>
            </c:numRef>
          </c:cat>
          <c:val>
            <c:numRef>
              <c:f>정리!$F$9:$F$13</c:f>
              <c:numCache>
                <c:formatCode>General</c:formatCode>
                <c:ptCount val="5"/>
                <c:pt idx="0">
                  <c:v>1820</c:v>
                </c:pt>
                <c:pt idx="1">
                  <c:v>2800</c:v>
                </c:pt>
                <c:pt idx="2">
                  <c:v>3460</c:v>
                </c:pt>
                <c:pt idx="3">
                  <c:v>4160</c:v>
                </c:pt>
                <c:pt idx="4">
                  <c:v>4590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4-4EFD-B53D-289946620C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0151327"/>
        <c:axId val="1790149247"/>
      </c:lineChart>
      <c:catAx>
        <c:axId val="179015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Throttle(%)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49247"/>
        <c:crosses val="autoZero"/>
        <c:auto val="1"/>
        <c:lblAlgn val="ctr"/>
        <c:lblOffset val="100"/>
        <c:noMultiLvlLbl val="0"/>
      </c:catAx>
      <c:valAx>
        <c:axId val="17901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Thrust(G)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U11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정리!$D$3:$D$7</c:f>
              <c:numCache>
                <c:formatCode>General</c:formatCode>
                <c:ptCount val="5"/>
                <c:pt idx="0">
                  <c:v>50</c:v>
                </c:pt>
                <c:pt idx="1">
                  <c:v>65</c:v>
                </c:pt>
                <c:pt idx="2">
                  <c:v>75</c:v>
                </c:pt>
                <c:pt idx="3">
                  <c:v>85</c:v>
                </c:pt>
                <c:pt idx="4">
                  <c:v>100</c:v>
                </c:pt>
              </c:numCache>
            </c:numRef>
          </c:cat>
          <c:val>
            <c:numRef>
              <c:f>정리!$F$18:$F$22</c:f>
              <c:numCache>
                <c:formatCode>General</c:formatCode>
                <c:ptCount val="5"/>
                <c:pt idx="0">
                  <c:v>5090</c:v>
                </c:pt>
                <c:pt idx="1">
                  <c:v>7480</c:v>
                </c:pt>
                <c:pt idx="2">
                  <c:v>9140</c:v>
                </c:pt>
                <c:pt idx="3">
                  <c:v>10540</c:v>
                </c:pt>
                <c:pt idx="4">
                  <c:v>12340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6-41EF-908C-451F96B9D7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0151327"/>
        <c:axId val="1790149247"/>
      </c:lineChart>
      <c:catAx>
        <c:axId val="179015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Throttle(%)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49247"/>
        <c:crosses val="autoZero"/>
        <c:auto val="1"/>
        <c:lblAlgn val="ctr"/>
        <c:lblOffset val="100"/>
        <c:noMultiLvlLbl val="0"/>
      </c:catAx>
      <c:valAx>
        <c:axId val="17901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Thrust(G)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U15L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정리!$D$27:$D$32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정리!$F$27:$F$32</c:f>
              <c:numCache>
                <c:formatCode>General</c:formatCode>
                <c:ptCount val="6"/>
                <c:pt idx="0">
                  <c:v>23782</c:v>
                </c:pt>
                <c:pt idx="1">
                  <c:v>32139</c:v>
                </c:pt>
                <c:pt idx="2">
                  <c:v>40584</c:v>
                </c:pt>
                <c:pt idx="3">
                  <c:v>49290</c:v>
                </c:pt>
                <c:pt idx="4">
                  <c:v>57896</c:v>
                </c:pt>
                <c:pt idx="5">
                  <c:v>61231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1-49B0-BEA3-44B90BA9B46B}"/>
            </c:ext>
          </c:extLst>
        </c:ser>
        <c:ser>
          <c:idx val="1"/>
          <c:order val="1"/>
          <c:tx>
            <c:v>U15XL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정리!$D$27:$D$32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cat>
          <c:val>
            <c:numRef>
              <c:f>정리!$F$34:$F$39</c:f>
              <c:numCache>
                <c:formatCode>General</c:formatCode>
                <c:ptCount val="6"/>
                <c:pt idx="0">
                  <c:v>30255</c:v>
                </c:pt>
                <c:pt idx="1">
                  <c:v>39961</c:v>
                </c:pt>
                <c:pt idx="2">
                  <c:v>50342</c:v>
                </c:pt>
                <c:pt idx="3">
                  <c:v>61188</c:v>
                </c:pt>
                <c:pt idx="4">
                  <c:v>72298</c:v>
                </c:pt>
                <c:pt idx="5">
                  <c:v>83487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1-49B0-BEA3-44B90BA9B4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0151327"/>
        <c:axId val="1790149247"/>
      </c:lineChart>
      <c:catAx>
        <c:axId val="179015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Throttle(%)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49247"/>
        <c:crosses val="autoZero"/>
        <c:auto val="1"/>
        <c:lblAlgn val="ctr"/>
        <c:lblOffset val="100"/>
        <c:noMultiLvlLbl val="0"/>
      </c:catAx>
      <c:valAx>
        <c:axId val="17901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Thrust(G)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01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619125</xdr:colOff>
      <xdr:row>0</xdr:row>
      <xdr:rowOff>76200</xdr:rowOff>
    </xdr:from>
    <xdr:to>
      <xdr:col>17</xdr:col>
      <xdr:colOff>523875</xdr:colOff>
      <xdr:row>13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4CC54EE-B0E6-4381-95F5-12E3BB8C3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542925</xdr:colOff>
      <xdr:row>14</xdr:row>
      <xdr:rowOff>57150</xdr:rowOff>
    </xdr:from>
    <xdr:to>
      <xdr:col>17</xdr:col>
      <xdr:colOff>514350</xdr:colOff>
      <xdr:row>24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1E3A66B-C514-4EC7-ACD5-80FDBE5AC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514350</xdr:colOff>
      <xdr:row>25</xdr:row>
      <xdr:rowOff>161925</xdr:rowOff>
    </xdr:from>
    <xdr:to>
      <xdr:col>17</xdr:col>
      <xdr:colOff>419100</xdr:colOff>
      <xdr:row>38</xdr:row>
      <xdr:rowOff>104775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6AAB382-E4CE-4AB6-B1F2-883EF5683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10</xdr:col>
      <xdr:colOff>198955</xdr:colOff>
      <xdr:row>35</xdr:row>
      <xdr:rowOff>151909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2E922EA-2BC9-4151-B1EC-8AB4F04CC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2350"/>
          <a:ext cx="8561905" cy="39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rtcopter.com/product/detail.html?product_no=68&amp;cate_no=25&amp;display_group=1" TargetMode="External"/><Relationship Id="rId1" Type="http://schemas.openxmlformats.org/officeDocument/2006/relationships/hyperlink" Target="https://artcopter.com/product/detail.html?product_no=878&amp;cate_no=25&amp;display_group=1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rtcopter.com/product/detail.html?product_no=64&amp;cate_no=99&amp;display_group=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rtcopter.com/product/detail.html?product_no=788&amp;cate_no=329&amp;display_group=1" TargetMode="External"/><Relationship Id="rId1" Type="http://schemas.openxmlformats.org/officeDocument/2006/relationships/hyperlink" Target="https://artcopter.com/product/detail.html?product_no=787&amp;cate_no=329&amp;display_grou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8823-E159-479D-8D66-D2783ED457E7}">
  <dimension ref="A1:I39"/>
  <sheetViews>
    <sheetView workbookViewId="0">
      <selection activeCell="S10" sqref="S10"/>
    </sheetView>
  </sheetViews>
  <sheetFormatPr defaultRowHeight="16.5" x14ac:dyDescent="0.3"/>
  <cols>
    <col min="1" max="1" width="16.875" bestFit="1" customWidth="1"/>
    <col min="2" max="2" width="16.625" customWidth="1"/>
    <col min="3" max="6" width="12.5" customWidth="1"/>
    <col min="7" max="7" width="15.125" bestFit="1" customWidth="1"/>
    <col min="8" max="8" width="12.5" customWidth="1"/>
  </cols>
  <sheetData>
    <row r="1" spans="1:9" x14ac:dyDescent="0.3">
      <c r="A1" s="23" t="s">
        <v>36</v>
      </c>
      <c r="B1" s="24"/>
      <c r="C1" s="24"/>
      <c r="D1" s="24"/>
      <c r="E1" s="24"/>
      <c r="F1" s="24"/>
      <c r="G1" s="19"/>
      <c r="H1" s="8"/>
    </row>
    <row r="2" spans="1:9" x14ac:dyDescent="0.3">
      <c r="A2" s="9" t="s">
        <v>34</v>
      </c>
      <c r="B2" s="6" t="s">
        <v>35</v>
      </c>
      <c r="C2" s="6" t="s">
        <v>6</v>
      </c>
      <c r="D2" s="6" t="s">
        <v>7</v>
      </c>
      <c r="E2" s="6" t="s">
        <v>8</v>
      </c>
      <c r="F2" s="6" t="s">
        <v>10</v>
      </c>
      <c r="G2" s="6" t="s">
        <v>40</v>
      </c>
      <c r="H2" s="10" t="s">
        <v>11</v>
      </c>
    </row>
    <row r="3" spans="1:9" x14ac:dyDescent="0.3">
      <c r="A3" s="25" t="s">
        <v>20</v>
      </c>
      <c r="B3" s="27" t="s">
        <v>16</v>
      </c>
      <c r="C3" s="29">
        <v>48</v>
      </c>
      <c r="D3" s="7">
        <v>50</v>
      </c>
      <c r="E3" s="7">
        <v>6.13</v>
      </c>
      <c r="F3" s="7">
        <v>3075</v>
      </c>
      <c r="G3" s="20">
        <f>(F3*8)/1000</f>
        <v>24.6</v>
      </c>
      <c r="H3" s="11">
        <v>2273</v>
      </c>
    </row>
    <row r="4" spans="1:9" x14ac:dyDescent="0.3">
      <c r="A4" s="25"/>
      <c r="B4" s="27"/>
      <c r="C4" s="29"/>
      <c r="D4" s="7">
        <v>65</v>
      </c>
      <c r="E4" s="7">
        <v>11.3</v>
      </c>
      <c r="F4" s="7">
        <v>4543</v>
      </c>
      <c r="G4" s="20">
        <f t="shared" ref="G4:G12" si="0">(F4*8)/1000</f>
        <v>36.344000000000001</v>
      </c>
      <c r="H4" s="11">
        <v>2828</v>
      </c>
    </row>
    <row r="5" spans="1:9" x14ac:dyDescent="0.3">
      <c r="A5" s="25"/>
      <c r="B5" s="27"/>
      <c r="C5" s="29"/>
      <c r="D5" s="7">
        <v>75</v>
      </c>
      <c r="E5" s="7">
        <v>16.98</v>
      </c>
      <c r="F5" s="7">
        <v>6083</v>
      </c>
      <c r="G5" s="20">
        <f t="shared" si="0"/>
        <v>48.664000000000001</v>
      </c>
      <c r="H5" s="11">
        <v>3230</v>
      </c>
    </row>
    <row r="6" spans="1:9" x14ac:dyDescent="0.3">
      <c r="A6" s="25"/>
      <c r="B6" s="27"/>
      <c r="C6" s="29"/>
      <c r="D6" s="15">
        <v>85</v>
      </c>
      <c r="E6" s="15">
        <v>23</v>
      </c>
      <c r="F6" s="15">
        <v>7500</v>
      </c>
      <c r="G6" s="21">
        <f t="shared" si="0"/>
        <v>60</v>
      </c>
      <c r="H6" s="16">
        <v>3500</v>
      </c>
      <c r="I6" t="s">
        <v>37</v>
      </c>
    </row>
    <row r="7" spans="1:9" x14ac:dyDescent="0.3">
      <c r="A7" s="25"/>
      <c r="B7" s="27"/>
      <c r="C7" s="29"/>
      <c r="D7" s="7">
        <v>100</v>
      </c>
      <c r="E7" s="7">
        <v>35.549999999999997</v>
      </c>
      <c r="F7" s="7">
        <v>9847</v>
      </c>
      <c r="G7" s="20">
        <f t="shared" si="0"/>
        <v>78.775999999999996</v>
      </c>
      <c r="H7" s="11">
        <v>4063</v>
      </c>
    </row>
    <row r="8" spans="1:9" x14ac:dyDescent="0.3">
      <c r="A8" s="12"/>
      <c r="B8" s="27"/>
      <c r="C8" s="31"/>
      <c r="D8" s="32"/>
      <c r="E8" s="32"/>
      <c r="F8" s="32"/>
      <c r="G8" s="32"/>
      <c r="H8" s="33"/>
    </row>
    <row r="9" spans="1:9" x14ac:dyDescent="0.3">
      <c r="A9" s="25" t="s">
        <v>17</v>
      </c>
      <c r="B9" s="27"/>
      <c r="C9" s="29">
        <v>22.2</v>
      </c>
      <c r="D9" s="7">
        <v>50</v>
      </c>
      <c r="E9" s="7">
        <v>5.5</v>
      </c>
      <c r="F9" s="7">
        <v>1820</v>
      </c>
      <c r="G9" s="20">
        <f t="shared" si="0"/>
        <v>14.56</v>
      </c>
      <c r="H9" s="11">
        <v>1600</v>
      </c>
    </row>
    <row r="10" spans="1:9" x14ac:dyDescent="0.3">
      <c r="A10" s="25"/>
      <c r="B10" s="27"/>
      <c r="C10" s="29"/>
      <c r="D10" s="7">
        <v>65</v>
      </c>
      <c r="E10" s="7">
        <v>10.199999999999999</v>
      </c>
      <c r="F10" s="7">
        <v>2800</v>
      </c>
      <c r="G10" s="20">
        <f t="shared" si="0"/>
        <v>22.4</v>
      </c>
      <c r="H10" s="11">
        <v>2000</v>
      </c>
    </row>
    <row r="11" spans="1:9" x14ac:dyDescent="0.3">
      <c r="A11" s="25"/>
      <c r="B11" s="27"/>
      <c r="C11" s="29"/>
      <c r="D11" s="7">
        <v>75</v>
      </c>
      <c r="E11" s="7">
        <v>13.7</v>
      </c>
      <c r="F11" s="7">
        <v>3460</v>
      </c>
      <c r="G11" s="20">
        <f t="shared" si="0"/>
        <v>27.68</v>
      </c>
      <c r="H11" s="11">
        <v>2200</v>
      </c>
    </row>
    <row r="12" spans="1:9" x14ac:dyDescent="0.3">
      <c r="A12" s="25"/>
      <c r="B12" s="27"/>
      <c r="C12" s="29"/>
      <c r="D12" s="7">
        <v>85</v>
      </c>
      <c r="E12" s="7">
        <v>17.8</v>
      </c>
      <c r="F12" s="7">
        <v>4160</v>
      </c>
      <c r="G12" s="20">
        <f t="shared" si="0"/>
        <v>33.28</v>
      </c>
      <c r="H12" s="11">
        <v>2400</v>
      </c>
    </row>
    <row r="13" spans="1:9" ht="17.25" thickBot="1" x14ac:dyDescent="0.35">
      <c r="A13" s="26"/>
      <c r="B13" s="28"/>
      <c r="C13" s="30"/>
      <c r="D13" s="13">
        <v>100</v>
      </c>
      <c r="E13" s="13">
        <v>21.7</v>
      </c>
      <c r="F13" s="13">
        <v>4590</v>
      </c>
      <c r="G13" s="22">
        <f>(F13*8)/1000</f>
        <v>36.72</v>
      </c>
      <c r="H13" s="14">
        <v>2540</v>
      </c>
    </row>
    <row r="15" spans="1:9" ht="17.25" thickBot="1" x14ac:dyDescent="0.35"/>
    <row r="16" spans="1:9" x14ac:dyDescent="0.3">
      <c r="A16" s="23" t="s">
        <v>38</v>
      </c>
      <c r="B16" s="24"/>
      <c r="C16" s="24"/>
      <c r="D16" s="24"/>
      <c r="E16" s="24"/>
      <c r="F16" s="24"/>
      <c r="G16" s="19"/>
      <c r="H16" s="8"/>
    </row>
    <row r="17" spans="1:8" x14ac:dyDescent="0.3">
      <c r="A17" s="9" t="s">
        <v>34</v>
      </c>
      <c r="B17" s="6" t="s">
        <v>35</v>
      </c>
      <c r="C17" s="6" t="s">
        <v>6</v>
      </c>
      <c r="D17" s="6" t="s">
        <v>7</v>
      </c>
      <c r="E17" s="6" t="s">
        <v>8</v>
      </c>
      <c r="F17" s="6" t="s">
        <v>10</v>
      </c>
      <c r="G17" s="6" t="s">
        <v>40</v>
      </c>
      <c r="H17" s="10" t="s">
        <v>11</v>
      </c>
    </row>
    <row r="18" spans="1:8" x14ac:dyDescent="0.3">
      <c r="A18" s="25" t="s">
        <v>4</v>
      </c>
      <c r="B18" s="27" t="s">
        <v>16</v>
      </c>
      <c r="C18" s="29">
        <v>50</v>
      </c>
      <c r="D18" s="7">
        <v>50</v>
      </c>
      <c r="E18" s="7">
        <v>11.8</v>
      </c>
      <c r="F18" s="7">
        <v>5090</v>
      </c>
      <c r="G18" s="20">
        <f>(F18*8)/1000</f>
        <v>40.72</v>
      </c>
      <c r="H18" s="11">
        <v>2760</v>
      </c>
    </row>
    <row r="19" spans="1:8" x14ac:dyDescent="0.3">
      <c r="A19" s="25"/>
      <c r="B19" s="27"/>
      <c r="C19" s="29"/>
      <c r="D19" s="7">
        <v>65</v>
      </c>
      <c r="E19" s="7">
        <v>21.3</v>
      </c>
      <c r="F19" s="7">
        <v>7480</v>
      </c>
      <c r="G19" s="20">
        <f t="shared" ref="G19:G21" si="1">(F19*8)/1000</f>
        <v>59.84</v>
      </c>
      <c r="H19" s="11">
        <v>3300</v>
      </c>
    </row>
    <row r="20" spans="1:8" x14ac:dyDescent="0.3">
      <c r="A20" s="25"/>
      <c r="B20" s="27"/>
      <c r="C20" s="29"/>
      <c r="D20" s="7">
        <v>75</v>
      </c>
      <c r="E20" s="7">
        <v>30.4</v>
      </c>
      <c r="F20" s="7">
        <v>9140</v>
      </c>
      <c r="G20" s="20">
        <f t="shared" si="1"/>
        <v>73.12</v>
      </c>
      <c r="H20" s="11">
        <v>3600</v>
      </c>
    </row>
    <row r="21" spans="1:8" x14ac:dyDescent="0.3">
      <c r="A21" s="25"/>
      <c r="B21" s="27"/>
      <c r="C21" s="29"/>
      <c r="D21" s="7">
        <v>85</v>
      </c>
      <c r="E21" s="7">
        <v>40</v>
      </c>
      <c r="F21" s="7">
        <v>10540</v>
      </c>
      <c r="G21" s="20">
        <f t="shared" si="1"/>
        <v>84.32</v>
      </c>
      <c r="H21" s="11">
        <v>3960</v>
      </c>
    </row>
    <row r="22" spans="1:8" ht="17.25" thickBot="1" x14ac:dyDescent="0.35">
      <c r="A22" s="26"/>
      <c r="B22" s="28"/>
      <c r="C22" s="30"/>
      <c r="D22" s="13">
        <v>100</v>
      </c>
      <c r="E22" s="13">
        <v>53</v>
      </c>
      <c r="F22" s="13">
        <v>12340</v>
      </c>
      <c r="G22" s="22">
        <f>(F22*8)/1000</f>
        <v>98.72</v>
      </c>
      <c r="H22" s="14">
        <v>4300</v>
      </c>
    </row>
    <row r="23" spans="1:8" x14ac:dyDescent="0.3">
      <c r="A23" s="4"/>
      <c r="B23" s="4"/>
      <c r="C23" s="5"/>
      <c r="D23" s="5"/>
      <c r="E23" s="5"/>
      <c r="F23" s="5"/>
      <c r="G23" s="5"/>
      <c r="H23" s="5"/>
    </row>
    <row r="24" spans="1:8" ht="17.25" thickBot="1" x14ac:dyDescent="0.35"/>
    <row r="25" spans="1:8" x14ac:dyDescent="0.3">
      <c r="A25" s="23" t="s">
        <v>39</v>
      </c>
      <c r="B25" s="24"/>
      <c r="C25" s="24"/>
      <c r="D25" s="24"/>
      <c r="E25" s="24"/>
      <c r="F25" s="24"/>
      <c r="G25" s="17"/>
      <c r="H25" s="8"/>
    </row>
    <row r="26" spans="1:8" x14ac:dyDescent="0.3">
      <c r="A26" s="9" t="s">
        <v>34</v>
      </c>
      <c r="B26" s="6" t="s">
        <v>35</v>
      </c>
      <c r="C26" s="6" t="s">
        <v>6</v>
      </c>
      <c r="D26" s="6" t="s">
        <v>7</v>
      </c>
      <c r="E26" s="6" t="s">
        <v>8</v>
      </c>
      <c r="F26" s="6" t="s">
        <v>10</v>
      </c>
      <c r="G26" s="6" t="s">
        <v>40</v>
      </c>
      <c r="H26" s="10" t="s">
        <v>11</v>
      </c>
    </row>
    <row r="27" spans="1:8" x14ac:dyDescent="0.3">
      <c r="A27" s="25" t="s">
        <v>25</v>
      </c>
      <c r="B27" s="27" t="s">
        <v>27</v>
      </c>
      <c r="C27" s="29">
        <v>100</v>
      </c>
      <c r="D27" s="7">
        <v>50</v>
      </c>
      <c r="E27" s="7">
        <v>29.23</v>
      </c>
      <c r="F27" s="7">
        <v>23782</v>
      </c>
      <c r="G27" s="20">
        <f>(F27*8)/1000</f>
        <v>190.256</v>
      </c>
      <c r="H27" s="11">
        <v>1942</v>
      </c>
    </row>
    <row r="28" spans="1:8" x14ac:dyDescent="0.3">
      <c r="A28" s="25"/>
      <c r="B28" s="27"/>
      <c r="C28" s="29"/>
      <c r="D28" s="7">
        <v>60</v>
      </c>
      <c r="E28" s="7">
        <v>44.6</v>
      </c>
      <c r="F28" s="7">
        <v>32139</v>
      </c>
      <c r="G28" s="20">
        <f t="shared" ref="G28:G39" si="2">(F28*8)/1000</f>
        <v>257.11200000000002</v>
      </c>
      <c r="H28" s="11">
        <v>2241</v>
      </c>
    </row>
    <row r="29" spans="1:8" x14ac:dyDescent="0.3">
      <c r="A29" s="25"/>
      <c r="B29" s="27"/>
      <c r="C29" s="29"/>
      <c r="D29" s="7">
        <v>70</v>
      </c>
      <c r="E29" s="7">
        <v>64.849999999999994</v>
      </c>
      <c r="F29" s="7">
        <v>40584</v>
      </c>
      <c r="G29" s="20">
        <f t="shared" si="2"/>
        <v>324.67200000000003</v>
      </c>
      <c r="H29" s="11">
        <v>2529</v>
      </c>
    </row>
    <row r="30" spans="1:8" x14ac:dyDescent="0.3">
      <c r="A30" s="25"/>
      <c r="B30" s="27"/>
      <c r="C30" s="29"/>
      <c r="D30" s="7">
        <v>80</v>
      </c>
      <c r="E30" s="7">
        <v>85.82</v>
      </c>
      <c r="F30" s="7">
        <v>49290</v>
      </c>
      <c r="G30" s="20">
        <f t="shared" si="2"/>
        <v>394.32</v>
      </c>
      <c r="H30" s="11">
        <v>2768</v>
      </c>
    </row>
    <row r="31" spans="1:8" x14ac:dyDescent="0.3">
      <c r="A31" s="25"/>
      <c r="B31" s="27"/>
      <c r="C31" s="29"/>
      <c r="D31" s="7">
        <v>90</v>
      </c>
      <c r="E31" s="7">
        <v>110.07</v>
      </c>
      <c r="F31" s="7">
        <v>57896</v>
      </c>
      <c r="G31" s="20">
        <f t="shared" si="2"/>
        <v>463.16800000000001</v>
      </c>
      <c r="H31" s="11">
        <v>3058</v>
      </c>
    </row>
    <row r="32" spans="1:8" x14ac:dyDescent="0.3">
      <c r="A32" s="25"/>
      <c r="B32" s="27"/>
      <c r="C32" s="29"/>
      <c r="D32" s="7">
        <v>100</v>
      </c>
      <c r="E32" s="7">
        <v>121.53</v>
      </c>
      <c r="F32" s="7">
        <v>61231</v>
      </c>
      <c r="G32" s="20">
        <f t="shared" si="2"/>
        <v>489.84800000000001</v>
      </c>
      <c r="H32" s="11">
        <v>3134</v>
      </c>
    </row>
    <row r="33" spans="1:8" x14ac:dyDescent="0.3">
      <c r="A33" s="12"/>
      <c r="B33" s="18"/>
      <c r="C33" s="29"/>
      <c r="D33" s="31"/>
      <c r="E33" s="32"/>
      <c r="F33" s="32"/>
      <c r="G33" s="32"/>
      <c r="H33" s="33"/>
    </row>
    <row r="34" spans="1:8" x14ac:dyDescent="0.3">
      <c r="A34" s="25" t="s">
        <v>26</v>
      </c>
      <c r="B34" s="27" t="s">
        <v>29</v>
      </c>
      <c r="C34" s="29"/>
      <c r="D34" s="7">
        <v>50</v>
      </c>
      <c r="E34" s="7">
        <v>43.4</v>
      </c>
      <c r="F34" s="7">
        <v>30255</v>
      </c>
      <c r="G34" s="20">
        <f t="shared" si="2"/>
        <v>242.04</v>
      </c>
      <c r="H34" s="11">
        <v>1775</v>
      </c>
    </row>
    <row r="35" spans="1:8" x14ac:dyDescent="0.3">
      <c r="A35" s="25"/>
      <c r="B35" s="27"/>
      <c r="C35" s="29"/>
      <c r="D35" s="7">
        <v>60</v>
      </c>
      <c r="E35" s="7">
        <v>65.2</v>
      </c>
      <c r="F35" s="7">
        <v>39961</v>
      </c>
      <c r="G35" s="20">
        <f t="shared" si="2"/>
        <v>319.68799999999999</v>
      </c>
      <c r="H35" s="11">
        <v>2038</v>
      </c>
    </row>
    <row r="36" spans="1:8" x14ac:dyDescent="0.3">
      <c r="A36" s="25"/>
      <c r="B36" s="27"/>
      <c r="C36" s="29"/>
      <c r="D36" s="7">
        <v>70</v>
      </c>
      <c r="E36" s="7">
        <v>91.9</v>
      </c>
      <c r="F36" s="7">
        <v>50342</v>
      </c>
      <c r="G36" s="20">
        <f t="shared" si="2"/>
        <v>402.73599999999999</v>
      </c>
      <c r="H36" s="11">
        <v>2287</v>
      </c>
    </row>
    <row r="37" spans="1:8" x14ac:dyDescent="0.3">
      <c r="A37" s="25"/>
      <c r="B37" s="27"/>
      <c r="C37" s="29"/>
      <c r="D37" s="7">
        <v>80</v>
      </c>
      <c r="E37" s="7">
        <v>123.3</v>
      </c>
      <c r="F37" s="7">
        <v>61188</v>
      </c>
      <c r="G37" s="20">
        <f t="shared" si="2"/>
        <v>489.50400000000002</v>
      </c>
      <c r="H37" s="11">
        <v>2520</v>
      </c>
    </row>
    <row r="38" spans="1:8" x14ac:dyDescent="0.3">
      <c r="A38" s="25"/>
      <c r="B38" s="27"/>
      <c r="C38" s="29"/>
      <c r="D38" s="7">
        <v>90</v>
      </c>
      <c r="E38" s="7">
        <v>159.6</v>
      </c>
      <c r="F38" s="7">
        <v>72298</v>
      </c>
      <c r="G38" s="20">
        <f t="shared" si="2"/>
        <v>578.38400000000001</v>
      </c>
      <c r="H38" s="11">
        <v>2739</v>
      </c>
    </row>
    <row r="39" spans="1:8" ht="17.25" thickBot="1" x14ac:dyDescent="0.35">
      <c r="A39" s="26"/>
      <c r="B39" s="28"/>
      <c r="C39" s="30"/>
      <c r="D39" s="13">
        <v>100</v>
      </c>
      <c r="E39" s="13">
        <v>200.7</v>
      </c>
      <c r="F39" s="13">
        <v>83487</v>
      </c>
      <c r="G39" s="22">
        <f t="shared" si="2"/>
        <v>667.89599999999996</v>
      </c>
      <c r="H39" s="14">
        <v>2943</v>
      </c>
    </row>
  </sheetData>
  <mergeCells count="18">
    <mergeCell ref="B27:B32"/>
    <mergeCell ref="B34:B39"/>
    <mergeCell ref="C27:C39"/>
    <mergeCell ref="C8:H8"/>
    <mergeCell ref="D33:H33"/>
    <mergeCell ref="A25:F25"/>
    <mergeCell ref="A27:A32"/>
    <mergeCell ref="A34:A39"/>
    <mergeCell ref="A16:F16"/>
    <mergeCell ref="A18:A22"/>
    <mergeCell ref="B18:B22"/>
    <mergeCell ref="C18:C22"/>
    <mergeCell ref="A1:F1"/>
    <mergeCell ref="A3:A7"/>
    <mergeCell ref="A9:A13"/>
    <mergeCell ref="B3:B13"/>
    <mergeCell ref="C3:C7"/>
    <mergeCell ref="C9:C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21B0-FEAD-4217-9DF1-9537E217E4C9}">
  <dimension ref="A1:N16"/>
  <sheetViews>
    <sheetView tabSelected="1" topLeftCell="A10" workbookViewId="0">
      <selection activeCell="L19" sqref="L19"/>
    </sheetView>
  </sheetViews>
  <sheetFormatPr defaultRowHeight="16.5" x14ac:dyDescent="0.3"/>
  <cols>
    <col min="1" max="2" width="15.75" bestFit="1" customWidth="1"/>
    <col min="5" max="5" width="10.625" bestFit="1" customWidth="1"/>
    <col min="6" max="6" width="11.125" bestFit="1" customWidth="1"/>
    <col min="7" max="7" width="10.375" bestFit="1" customWidth="1"/>
    <col min="8" max="8" width="9.75" bestFit="1" customWidth="1"/>
    <col min="9" max="9" width="9.375" bestFit="1" customWidth="1"/>
    <col min="11" max="11" width="15.125" bestFit="1" customWidth="1"/>
    <col min="12" max="12" width="26.625" bestFit="1" customWidth="1"/>
    <col min="13" max="13" width="32.5" bestFit="1" customWidth="1"/>
    <col min="14" max="14" width="11" bestFit="1" customWidth="1"/>
  </cols>
  <sheetData>
    <row r="1" spans="1:14" x14ac:dyDescent="0.3">
      <c r="A1" t="s">
        <v>1</v>
      </c>
      <c r="B1" t="s">
        <v>2</v>
      </c>
      <c r="C1" t="s">
        <v>0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21</v>
      </c>
      <c r="M1" t="s">
        <v>22</v>
      </c>
      <c r="N1" t="s">
        <v>13</v>
      </c>
    </row>
    <row r="2" spans="1:14" x14ac:dyDescent="0.3">
      <c r="A2" s="1" t="s">
        <v>20</v>
      </c>
      <c r="B2" s="1" t="s">
        <v>16</v>
      </c>
      <c r="C2" t="s">
        <v>15</v>
      </c>
      <c r="D2" t="s">
        <v>14</v>
      </c>
      <c r="E2">
        <v>48</v>
      </c>
      <c r="F2">
        <v>45</v>
      </c>
      <c r="G2">
        <v>4.6900000000000004</v>
      </c>
      <c r="H2">
        <v>224</v>
      </c>
      <c r="I2">
        <v>2515</v>
      </c>
      <c r="J2">
        <v>2079</v>
      </c>
      <c r="K2">
        <v>11.23</v>
      </c>
      <c r="L2">
        <f>I2*8</f>
        <v>20120</v>
      </c>
      <c r="M2">
        <f>G2*1000*8/60</f>
        <v>625.33333333333337</v>
      </c>
      <c r="N2" s="2" t="s">
        <v>23</v>
      </c>
    </row>
    <row r="3" spans="1:14" x14ac:dyDescent="0.3">
      <c r="A3" s="1" t="s">
        <v>42</v>
      </c>
      <c r="B3" s="1" t="s">
        <v>41</v>
      </c>
      <c r="F3">
        <v>50</v>
      </c>
      <c r="G3">
        <v>6.13</v>
      </c>
      <c r="H3">
        <v>292</v>
      </c>
      <c r="I3">
        <v>3075</v>
      </c>
      <c r="J3">
        <v>2273</v>
      </c>
      <c r="K3">
        <v>10.52</v>
      </c>
      <c r="L3" cm="1">
        <f t="array" ref="L3:L16">I3:I16*8</f>
        <v>24600</v>
      </c>
      <c r="M3" cm="1">
        <f t="array" ref="M3:M16">G3:G16*1000*8/60</f>
        <v>817.33333333333337</v>
      </c>
      <c r="N3" s="2"/>
    </row>
    <row r="4" spans="1:14" x14ac:dyDescent="0.3">
      <c r="F4">
        <v>60</v>
      </c>
      <c r="G4">
        <v>9.1199999999999992</v>
      </c>
      <c r="H4">
        <v>434</v>
      </c>
      <c r="I4">
        <v>4007</v>
      </c>
      <c r="J4">
        <v>2637</v>
      </c>
      <c r="K4">
        <v>9.2200000000000006</v>
      </c>
      <c r="L4">
        <v>32056</v>
      </c>
      <c r="M4">
        <v>1216</v>
      </c>
    </row>
    <row r="5" spans="1:14" x14ac:dyDescent="0.3">
      <c r="F5">
        <v>70</v>
      </c>
      <c r="G5">
        <v>13.53</v>
      </c>
      <c r="H5">
        <v>643</v>
      </c>
      <c r="I5">
        <v>5217</v>
      </c>
      <c r="J5">
        <v>3018</v>
      </c>
      <c r="K5">
        <v>8.11</v>
      </c>
      <c r="L5">
        <v>41736</v>
      </c>
      <c r="M5">
        <v>1804</v>
      </c>
    </row>
    <row r="6" spans="1:14" x14ac:dyDescent="0.3">
      <c r="F6">
        <v>80</v>
      </c>
      <c r="G6">
        <v>19.989999999999998</v>
      </c>
      <c r="H6">
        <v>947</v>
      </c>
      <c r="I6">
        <v>6832</v>
      </c>
      <c r="J6">
        <v>3399</v>
      </c>
      <c r="K6">
        <v>7.21</v>
      </c>
      <c r="L6">
        <v>54656</v>
      </c>
      <c r="M6">
        <v>2665.3333333333335</v>
      </c>
    </row>
    <row r="7" spans="1:14" x14ac:dyDescent="0.3">
      <c r="F7">
        <v>90</v>
      </c>
      <c r="G7">
        <v>26.57</v>
      </c>
      <c r="H7">
        <v>1256</v>
      </c>
      <c r="I7">
        <v>8273</v>
      </c>
      <c r="J7">
        <v>3716</v>
      </c>
      <c r="K7">
        <v>6.59</v>
      </c>
      <c r="L7">
        <v>66184</v>
      </c>
      <c r="M7">
        <v>3542.6666666666665</v>
      </c>
    </row>
    <row r="8" spans="1:14" x14ac:dyDescent="0.3">
      <c r="F8">
        <v>100</v>
      </c>
      <c r="G8">
        <v>35.549999999999997</v>
      </c>
      <c r="H8">
        <v>1674</v>
      </c>
      <c r="I8">
        <v>9847</v>
      </c>
      <c r="J8">
        <v>4063</v>
      </c>
      <c r="K8">
        <v>5.88</v>
      </c>
      <c r="L8">
        <v>78776</v>
      </c>
      <c r="M8">
        <v>4740</v>
      </c>
    </row>
    <row r="9" spans="1:14" x14ac:dyDescent="0.3">
      <c r="A9" s="1"/>
      <c r="B9" s="1"/>
      <c r="L9">
        <v>0</v>
      </c>
      <c r="M9">
        <v>0</v>
      </c>
      <c r="N9" s="2"/>
    </row>
    <row r="10" spans="1:14" x14ac:dyDescent="0.3">
      <c r="L10">
        <v>0</v>
      </c>
      <c r="M10">
        <v>0</v>
      </c>
    </row>
    <row r="11" spans="1:14" x14ac:dyDescent="0.3">
      <c r="A11" s="1" t="s">
        <v>17</v>
      </c>
      <c r="B11" s="1" t="s">
        <v>16</v>
      </c>
      <c r="C11" t="s">
        <v>18</v>
      </c>
      <c r="D11" t="s">
        <v>19</v>
      </c>
      <c r="E11">
        <v>22.2</v>
      </c>
      <c r="F11">
        <v>50</v>
      </c>
      <c r="G11">
        <v>5.5</v>
      </c>
      <c r="H11">
        <v>122.1</v>
      </c>
      <c r="I11">
        <v>1820</v>
      </c>
      <c r="J11">
        <v>1600</v>
      </c>
      <c r="K11">
        <v>14.91</v>
      </c>
      <c r="L11">
        <v>14560</v>
      </c>
      <c r="M11">
        <v>733.33333333333337</v>
      </c>
      <c r="N11" s="2" t="s">
        <v>33</v>
      </c>
    </row>
    <row r="12" spans="1:14" x14ac:dyDescent="0.3">
      <c r="A12" t="s">
        <v>43</v>
      </c>
      <c r="B12" t="s">
        <v>41</v>
      </c>
      <c r="F12">
        <v>65</v>
      </c>
      <c r="G12">
        <v>10.199999999999999</v>
      </c>
      <c r="H12">
        <v>226.44</v>
      </c>
      <c r="I12">
        <v>2800</v>
      </c>
      <c r="J12">
        <v>2000</v>
      </c>
      <c r="K12">
        <v>12.37</v>
      </c>
      <c r="L12">
        <v>22400</v>
      </c>
      <c r="M12">
        <v>1360</v>
      </c>
    </row>
    <row r="13" spans="1:14" x14ac:dyDescent="0.3">
      <c r="F13">
        <v>75</v>
      </c>
      <c r="G13">
        <v>13.7</v>
      </c>
      <c r="H13">
        <v>304.14</v>
      </c>
      <c r="I13">
        <v>3460</v>
      </c>
      <c r="J13">
        <v>2200</v>
      </c>
      <c r="K13">
        <v>11.38</v>
      </c>
      <c r="L13">
        <v>27680</v>
      </c>
      <c r="M13">
        <v>1826.6666666666667</v>
      </c>
    </row>
    <row r="14" spans="1:14" x14ac:dyDescent="0.3">
      <c r="F14">
        <v>85</v>
      </c>
      <c r="G14">
        <v>17.8</v>
      </c>
      <c r="H14">
        <v>395.16</v>
      </c>
      <c r="I14">
        <v>4160</v>
      </c>
      <c r="J14">
        <v>2400</v>
      </c>
      <c r="K14">
        <v>10.53</v>
      </c>
      <c r="L14">
        <v>33280</v>
      </c>
      <c r="M14">
        <v>2373.3333333333335</v>
      </c>
    </row>
    <row r="15" spans="1:14" x14ac:dyDescent="0.3">
      <c r="F15">
        <v>100</v>
      </c>
      <c r="G15">
        <v>21.7</v>
      </c>
      <c r="H15">
        <v>481.74</v>
      </c>
      <c r="I15">
        <v>4590</v>
      </c>
      <c r="J15">
        <v>2540</v>
      </c>
      <c r="K15">
        <v>9.5299999999999994</v>
      </c>
      <c r="L15">
        <v>36720</v>
      </c>
      <c r="M15">
        <v>2893.3333333333335</v>
      </c>
    </row>
    <row r="16" spans="1:14" x14ac:dyDescent="0.3">
      <c r="L16">
        <v>0</v>
      </c>
      <c r="M16">
        <v>0</v>
      </c>
    </row>
  </sheetData>
  <phoneticPr fontId="1" type="noConversion"/>
  <hyperlinks>
    <hyperlink ref="N2" r:id="rId1" xr:uid="{2248A83B-1E9E-4E62-BF23-A3179CF04E3D}"/>
    <hyperlink ref="N11" r:id="rId2" xr:uid="{1DA847D8-1A62-4B43-8A53-70B6E3214BC1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2355-06B7-43A3-AB36-71BF19E885D2}">
  <dimension ref="A1:N16"/>
  <sheetViews>
    <sheetView workbookViewId="0">
      <selection activeCell="B3" sqref="B3"/>
    </sheetView>
  </sheetViews>
  <sheetFormatPr defaultRowHeight="16.5" x14ac:dyDescent="0.3"/>
  <cols>
    <col min="1" max="2" width="15.75" bestFit="1" customWidth="1"/>
    <col min="5" max="5" width="10.625" bestFit="1" customWidth="1"/>
    <col min="6" max="6" width="11.125" bestFit="1" customWidth="1"/>
    <col min="7" max="7" width="10.375" bestFit="1" customWidth="1"/>
    <col min="8" max="8" width="9.75" bestFit="1" customWidth="1"/>
    <col min="9" max="9" width="9.375" bestFit="1" customWidth="1"/>
    <col min="11" max="11" width="15.125" bestFit="1" customWidth="1"/>
    <col min="12" max="12" width="26.625" bestFit="1" customWidth="1"/>
    <col min="13" max="13" width="32.5" bestFit="1" customWidth="1"/>
    <col min="14" max="14" width="11" bestFit="1" customWidth="1"/>
  </cols>
  <sheetData>
    <row r="1" spans="1:14" x14ac:dyDescent="0.3">
      <c r="A1" t="s">
        <v>1</v>
      </c>
      <c r="B1" t="s">
        <v>2</v>
      </c>
      <c r="C1" t="s">
        <v>0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21</v>
      </c>
      <c r="M1" t="s">
        <v>22</v>
      </c>
      <c r="N1" t="s">
        <v>13</v>
      </c>
    </row>
    <row r="2" spans="1:14" x14ac:dyDescent="0.3">
      <c r="A2" s="1" t="s">
        <v>4</v>
      </c>
      <c r="B2" s="1" t="s">
        <v>16</v>
      </c>
      <c r="C2" t="s">
        <v>5</v>
      </c>
      <c r="D2" t="s">
        <v>14</v>
      </c>
      <c r="E2">
        <v>50</v>
      </c>
      <c r="F2">
        <v>50</v>
      </c>
      <c r="G2">
        <v>11.8</v>
      </c>
      <c r="H2">
        <v>590</v>
      </c>
      <c r="I2">
        <v>5090</v>
      </c>
      <c r="J2">
        <v>2760</v>
      </c>
      <c r="K2">
        <v>8.6300000000000008</v>
      </c>
      <c r="L2">
        <f>I2*8</f>
        <v>40720</v>
      </c>
      <c r="M2">
        <f>G2*1000*8/60</f>
        <v>1573.3333333333333</v>
      </c>
      <c r="N2" s="2" t="s">
        <v>24</v>
      </c>
    </row>
    <row r="3" spans="1:14" x14ac:dyDescent="0.3">
      <c r="A3" s="1" t="s">
        <v>44</v>
      </c>
      <c r="B3" s="1" t="s">
        <v>41</v>
      </c>
      <c r="F3">
        <v>65</v>
      </c>
      <c r="G3">
        <v>21.3</v>
      </c>
      <c r="H3">
        <v>1065</v>
      </c>
      <c r="I3">
        <v>7480</v>
      </c>
      <c r="J3">
        <v>3300</v>
      </c>
      <c r="K3">
        <v>7.02</v>
      </c>
      <c r="L3" cm="1">
        <f t="array" ref="L3:L16">I3:I16*8</f>
        <v>59840</v>
      </c>
      <c r="M3" cm="1">
        <f t="array" ref="M3:M16">G3:G16*1000*8/60</f>
        <v>2840</v>
      </c>
      <c r="N3" s="2"/>
    </row>
    <row r="4" spans="1:14" x14ac:dyDescent="0.3">
      <c r="F4">
        <v>75</v>
      </c>
      <c r="G4">
        <v>30.4</v>
      </c>
      <c r="H4">
        <v>1520</v>
      </c>
      <c r="I4">
        <v>9140</v>
      </c>
      <c r="J4">
        <v>3600</v>
      </c>
      <c r="K4">
        <v>6.01</v>
      </c>
      <c r="L4">
        <v>73120</v>
      </c>
      <c r="M4">
        <v>4053.3333333333335</v>
      </c>
    </row>
    <row r="5" spans="1:14" x14ac:dyDescent="0.3">
      <c r="F5">
        <v>85</v>
      </c>
      <c r="G5">
        <v>40</v>
      </c>
      <c r="H5">
        <v>2000</v>
      </c>
      <c r="I5">
        <v>10540</v>
      </c>
      <c r="J5">
        <v>3960</v>
      </c>
      <c r="K5">
        <v>5.27</v>
      </c>
      <c r="L5">
        <v>84320</v>
      </c>
      <c r="M5">
        <v>5333.333333333333</v>
      </c>
    </row>
    <row r="6" spans="1:14" x14ac:dyDescent="0.3">
      <c r="F6">
        <v>100</v>
      </c>
      <c r="G6">
        <v>53</v>
      </c>
      <c r="H6">
        <v>2650</v>
      </c>
      <c r="I6">
        <v>12340</v>
      </c>
      <c r="J6">
        <v>4300</v>
      </c>
      <c r="K6">
        <v>4.66</v>
      </c>
      <c r="L6">
        <v>98720</v>
      </c>
      <c r="M6">
        <v>7066.666666666667</v>
      </c>
    </row>
    <row r="7" spans="1:14" x14ac:dyDescent="0.3">
      <c r="L7">
        <v>0</v>
      </c>
      <c r="M7">
        <v>0</v>
      </c>
    </row>
    <row r="8" spans="1:14" x14ac:dyDescent="0.3">
      <c r="L8">
        <v>0</v>
      </c>
      <c r="M8">
        <v>0</v>
      </c>
    </row>
    <row r="9" spans="1:14" x14ac:dyDescent="0.3">
      <c r="A9" s="1"/>
      <c r="B9" s="1"/>
      <c r="L9">
        <v>0</v>
      </c>
      <c r="M9">
        <v>0</v>
      </c>
      <c r="N9" s="2"/>
    </row>
    <row r="10" spans="1:14" x14ac:dyDescent="0.3">
      <c r="B10" s="1"/>
      <c r="L10">
        <v>0</v>
      </c>
      <c r="M10">
        <v>0</v>
      </c>
    </row>
    <row r="11" spans="1:14" x14ac:dyDescent="0.3">
      <c r="A11" s="1"/>
      <c r="B11" s="1"/>
      <c r="L11">
        <v>0</v>
      </c>
      <c r="M11">
        <v>0</v>
      </c>
    </row>
    <row r="12" spans="1:14" x14ac:dyDescent="0.3">
      <c r="L12">
        <v>0</v>
      </c>
      <c r="M12">
        <v>0</v>
      </c>
    </row>
    <row r="13" spans="1:14" x14ac:dyDescent="0.3">
      <c r="L13">
        <v>0</v>
      </c>
      <c r="M13">
        <v>0</v>
      </c>
    </row>
    <row r="14" spans="1:14" x14ac:dyDescent="0.3">
      <c r="L14">
        <v>0</v>
      </c>
      <c r="M14">
        <v>0</v>
      </c>
    </row>
    <row r="15" spans="1:14" x14ac:dyDescent="0.3">
      <c r="L15">
        <v>0</v>
      </c>
      <c r="M15">
        <v>0</v>
      </c>
    </row>
    <row r="16" spans="1:14" x14ac:dyDescent="0.3">
      <c r="L16">
        <v>0</v>
      </c>
      <c r="M16">
        <v>0</v>
      </c>
    </row>
  </sheetData>
  <phoneticPr fontId="1" type="noConversion"/>
  <hyperlinks>
    <hyperlink ref="N2" r:id="rId1" xr:uid="{CC700690-3DDA-48AF-A1EC-AC58CE542E5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4532-1A10-46DB-8164-4FE890E1CEE7}">
  <dimension ref="A1:N16"/>
  <sheetViews>
    <sheetView workbookViewId="0">
      <selection activeCell="A18" sqref="A18"/>
    </sheetView>
  </sheetViews>
  <sheetFormatPr defaultRowHeight="16.5" x14ac:dyDescent="0.3"/>
  <cols>
    <col min="1" max="2" width="15.75" bestFit="1" customWidth="1"/>
    <col min="5" max="5" width="10.625" bestFit="1" customWidth="1"/>
    <col min="6" max="6" width="11.125" bestFit="1" customWidth="1"/>
    <col min="7" max="7" width="10.375" bestFit="1" customWidth="1"/>
    <col min="8" max="8" width="9.75" bestFit="1" customWidth="1"/>
    <col min="9" max="9" width="9.375" bestFit="1" customWidth="1"/>
    <col min="11" max="11" width="15.125" bestFit="1" customWidth="1"/>
    <col min="12" max="12" width="20.125" customWidth="1"/>
    <col min="13" max="13" width="25.625" customWidth="1"/>
    <col min="14" max="14" width="11" bestFit="1" customWidth="1"/>
  </cols>
  <sheetData>
    <row r="1" spans="1:14" x14ac:dyDescent="0.3">
      <c r="A1" t="s">
        <v>1</v>
      </c>
      <c r="B1" t="s">
        <v>2</v>
      </c>
      <c r="C1" t="s">
        <v>0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21</v>
      </c>
      <c r="M1" t="s">
        <v>22</v>
      </c>
      <c r="N1" t="s">
        <v>13</v>
      </c>
    </row>
    <row r="2" spans="1:14" x14ac:dyDescent="0.3">
      <c r="A2" s="3" t="s">
        <v>25</v>
      </c>
      <c r="B2" s="1" t="s">
        <v>27</v>
      </c>
      <c r="C2" t="s">
        <v>30</v>
      </c>
      <c r="D2" t="s">
        <v>28</v>
      </c>
      <c r="E2">
        <v>100</v>
      </c>
      <c r="F2">
        <v>50</v>
      </c>
      <c r="G2">
        <v>29.23</v>
      </c>
      <c r="H2">
        <v>2923</v>
      </c>
      <c r="I2">
        <v>23782</v>
      </c>
      <c r="J2">
        <v>1942</v>
      </c>
      <c r="K2">
        <v>8.14</v>
      </c>
      <c r="L2">
        <f>I2*8</f>
        <v>190256</v>
      </c>
      <c r="M2">
        <f>G2*1000*8/60</f>
        <v>3897.3333333333335</v>
      </c>
      <c r="N2" s="2" t="s">
        <v>31</v>
      </c>
    </row>
    <row r="3" spans="1:14" x14ac:dyDescent="0.3">
      <c r="A3" s="1" t="s">
        <v>45</v>
      </c>
      <c r="B3" s="1" t="s">
        <v>47</v>
      </c>
      <c r="F3">
        <v>60</v>
      </c>
      <c r="G3">
        <v>44.6</v>
      </c>
      <c r="H3">
        <v>4460</v>
      </c>
      <c r="I3">
        <v>32139</v>
      </c>
      <c r="J3">
        <v>2241</v>
      </c>
      <c r="K3">
        <v>7.21</v>
      </c>
      <c r="L3" cm="1">
        <f t="array" ref="L3:L16">I3:I16*8</f>
        <v>257112</v>
      </c>
      <c r="M3" cm="1">
        <f t="array" ref="M3:M16">G3:G16*1000*8/60</f>
        <v>5946.666666666667</v>
      </c>
      <c r="N3" s="2"/>
    </row>
    <row r="4" spans="1:14" x14ac:dyDescent="0.3">
      <c r="F4">
        <v>70</v>
      </c>
      <c r="G4">
        <v>64.849999999999994</v>
      </c>
      <c r="H4">
        <v>6485</v>
      </c>
      <c r="I4">
        <v>40584</v>
      </c>
      <c r="J4">
        <v>2529</v>
      </c>
      <c r="K4">
        <v>6.26</v>
      </c>
      <c r="L4">
        <v>324672</v>
      </c>
      <c r="M4">
        <v>8646.6666666666661</v>
      </c>
    </row>
    <row r="5" spans="1:14" x14ac:dyDescent="0.3">
      <c r="F5">
        <v>80</v>
      </c>
      <c r="G5">
        <v>85.82</v>
      </c>
      <c r="H5">
        <v>8582</v>
      </c>
      <c r="I5">
        <v>49290</v>
      </c>
      <c r="J5">
        <v>2768</v>
      </c>
      <c r="K5">
        <v>5.74</v>
      </c>
      <c r="L5">
        <v>394320</v>
      </c>
      <c r="M5">
        <v>11442.666666666666</v>
      </c>
    </row>
    <row r="6" spans="1:14" x14ac:dyDescent="0.3">
      <c r="F6">
        <v>90</v>
      </c>
      <c r="G6">
        <v>110.07</v>
      </c>
      <c r="H6">
        <v>11007</v>
      </c>
      <c r="I6">
        <v>57896</v>
      </c>
      <c r="J6">
        <v>3058</v>
      </c>
      <c r="K6">
        <v>5.26</v>
      </c>
      <c r="L6">
        <v>463168</v>
      </c>
      <c r="M6">
        <v>14676</v>
      </c>
    </row>
    <row r="7" spans="1:14" x14ac:dyDescent="0.3">
      <c r="F7">
        <v>100</v>
      </c>
      <c r="G7">
        <v>121.53</v>
      </c>
      <c r="H7">
        <v>12153</v>
      </c>
      <c r="I7">
        <v>61231</v>
      </c>
      <c r="J7">
        <v>3134</v>
      </c>
      <c r="K7">
        <v>5.04</v>
      </c>
      <c r="L7">
        <v>489848</v>
      </c>
      <c r="M7">
        <v>16204</v>
      </c>
    </row>
    <row r="8" spans="1:14" x14ac:dyDescent="0.3">
      <c r="L8">
        <v>0</v>
      </c>
      <c r="M8">
        <v>0</v>
      </c>
    </row>
    <row r="9" spans="1:14" x14ac:dyDescent="0.3">
      <c r="A9" s="1"/>
      <c r="B9" s="1"/>
      <c r="L9">
        <v>0</v>
      </c>
      <c r="M9">
        <v>0</v>
      </c>
      <c r="N9" s="2"/>
    </row>
    <row r="10" spans="1:14" x14ac:dyDescent="0.3">
      <c r="B10" s="1"/>
      <c r="L10">
        <v>0</v>
      </c>
      <c r="M10">
        <v>0</v>
      </c>
    </row>
    <row r="11" spans="1:14" x14ac:dyDescent="0.3">
      <c r="A11" s="3" t="s">
        <v>26</v>
      </c>
      <c r="B11" s="1" t="s">
        <v>29</v>
      </c>
      <c r="C11" t="s">
        <v>30</v>
      </c>
      <c r="D11" t="s">
        <v>28</v>
      </c>
      <c r="E11">
        <v>100</v>
      </c>
      <c r="F11">
        <v>50</v>
      </c>
      <c r="G11">
        <v>43.4</v>
      </c>
      <c r="H11">
        <v>4343</v>
      </c>
      <c r="I11">
        <v>30255</v>
      </c>
      <c r="J11">
        <v>1775</v>
      </c>
      <c r="K11">
        <v>6.97</v>
      </c>
      <c r="L11">
        <v>242040</v>
      </c>
      <c r="M11">
        <v>5786.666666666667</v>
      </c>
      <c r="N11" s="2" t="s">
        <v>32</v>
      </c>
    </row>
    <row r="12" spans="1:14" x14ac:dyDescent="0.3">
      <c r="A12" t="s">
        <v>46</v>
      </c>
      <c r="B12" t="s">
        <v>47</v>
      </c>
      <c r="F12">
        <v>60</v>
      </c>
      <c r="G12">
        <v>65.2</v>
      </c>
      <c r="H12">
        <v>6525</v>
      </c>
      <c r="I12">
        <v>39961</v>
      </c>
      <c r="J12">
        <v>2038</v>
      </c>
      <c r="K12">
        <v>6.12</v>
      </c>
      <c r="L12">
        <v>319688</v>
      </c>
      <c r="M12">
        <v>8693.3333333333339</v>
      </c>
    </row>
    <row r="13" spans="1:14" x14ac:dyDescent="0.3">
      <c r="F13">
        <v>70</v>
      </c>
      <c r="G13">
        <v>91.9</v>
      </c>
      <c r="H13">
        <v>9189</v>
      </c>
      <c r="I13">
        <v>50342</v>
      </c>
      <c r="J13">
        <v>2287</v>
      </c>
      <c r="K13">
        <v>5.48</v>
      </c>
      <c r="L13">
        <v>402736</v>
      </c>
      <c r="M13">
        <v>12253.333333333334</v>
      </c>
    </row>
    <row r="14" spans="1:14" x14ac:dyDescent="0.3">
      <c r="F14">
        <v>80</v>
      </c>
      <c r="G14">
        <v>123.3</v>
      </c>
      <c r="H14">
        <v>12335</v>
      </c>
      <c r="I14">
        <v>61188</v>
      </c>
      <c r="J14">
        <v>2520</v>
      </c>
      <c r="K14">
        <v>4.96</v>
      </c>
      <c r="L14">
        <v>489504</v>
      </c>
      <c r="M14">
        <v>16440</v>
      </c>
    </row>
    <row r="15" spans="1:14" x14ac:dyDescent="0.3">
      <c r="F15">
        <v>90</v>
      </c>
      <c r="G15">
        <v>159.6</v>
      </c>
      <c r="H15">
        <v>15962</v>
      </c>
      <c r="I15">
        <v>72298</v>
      </c>
      <c r="J15">
        <v>2739</v>
      </c>
      <c r="K15">
        <v>4.53</v>
      </c>
      <c r="L15">
        <v>578384</v>
      </c>
      <c r="M15">
        <v>21280</v>
      </c>
    </row>
    <row r="16" spans="1:14" x14ac:dyDescent="0.3">
      <c r="F16">
        <v>100</v>
      </c>
      <c r="G16">
        <v>200.7</v>
      </c>
      <c r="H16">
        <v>20072</v>
      </c>
      <c r="I16">
        <v>83487</v>
      </c>
      <c r="J16">
        <v>2943</v>
      </c>
      <c r="K16">
        <v>4.16</v>
      </c>
      <c r="L16">
        <v>667896</v>
      </c>
      <c r="M16">
        <v>26760</v>
      </c>
    </row>
  </sheetData>
  <phoneticPr fontId="1" type="noConversion"/>
  <hyperlinks>
    <hyperlink ref="N2" r:id="rId1" xr:uid="{2D18D281-7479-4AE6-93DE-A9FF2048FA2C}"/>
    <hyperlink ref="N11" r:id="rId2" xr:uid="{E2F0B9BD-F555-4FC2-8409-79BAFC96A4D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정리</vt:lpstr>
      <vt:lpstr>옥타(20kg)</vt:lpstr>
      <vt:lpstr>옥타(40kg)</vt:lpstr>
      <vt:lpstr>옥타(200kg)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thnoh</dc:creator>
  <cp:lastModifiedBy>(대학원생) 이강민 (기계공학과)</cp:lastModifiedBy>
  <dcterms:created xsi:type="dcterms:W3CDTF">2020-11-13T03:16:37Z</dcterms:created>
  <dcterms:modified xsi:type="dcterms:W3CDTF">2021-03-12T14:44:07Z</dcterms:modified>
</cp:coreProperties>
</file>